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<sst xmlns="http://schemas.openxmlformats.org/spreadsheetml/2006/main" count="22" uniqueCount="17">
  <si>
    <t>Width of the pad</t>
  </si>
  <si>
    <t>T1</t>
  </si>
  <si>
    <t>Chi</t>
  </si>
  <si>
    <t>g</t>
  </si>
  <si>
    <t>Product gT1</t>
  </si>
  <si>
    <t>30um</t>
  </si>
  <si>
    <t>45um</t>
  </si>
  <si>
    <t>60um</t>
  </si>
  <si>
    <t>75um</t>
  </si>
  <si>
    <t>90um</t>
  </si>
  <si>
    <t>105um</t>
  </si>
  <si>
    <t>Pad_gap</t>
  </si>
  <si>
    <t>5um</t>
  </si>
  <si>
    <t>10um</t>
  </si>
  <si>
    <t>15um</t>
  </si>
  <si>
    <t>20um</t>
  </si>
  <si>
    <t>25um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</si>
</sst>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Menlo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 shrinkToFit="0" wrapText="1"/>
    </xf>
    <xf borderId="0" fillId="2" fontId="3" numFmtId="0" xfId="0" applyAlignment="1" applyFont="1">
      <alignment horizontal="left" readingOrder="0" shrinkToFit="0" wrapText="1"/>
    </xf>
    <xf borderId="0" fillId="0" fontId="1" numFmtId="0" xfId="0" applyFon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28.0"/>
    <col customWidth="1" min="3" max="3" width="3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898.877632</v>
      </c>
      <c r="C2" s="2">
        <v>0.266852</v>
      </c>
      <c r="D2" s="3">
        <v>54.821132</v>
      </c>
      <c r="E2" s="4">
        <f t="shared" ref="E2:E7" si="1">D2*B2</f>
        <v>49277.48932</v>
      </c>
    </row>
    <row r="3">
      <c r="A3" s="1" t="s">
        <v>6</v>
      </c>
      <c r="B3" s="2">
        <v>692.881034</v>
      </c>
      <c r="C3" s="2">
        <v>0.345611</v>
      </c>
      <c r="D3" s="5">
        <v>62.391457</v>
      </c>
      <c r="E3" s="4">
        <f t="shared" si="1"/>
        <v>43229.85724</v>
      </c>
    </row>
    <row r="4">
      <c r="A4" s="1" t="s">
        <v>7</v>
      </c>
      <c r="B4" s="2">
        <v>555.660821</v>
      </c>
      <c r="C4" s="5">
        <v>0.43069</v>
      </c>
      <c r="D4" s="3">
        <v>69.868704</v>
      </c>
      <c r="E4" s="4">
        <f t="shared" si="1"/>
        <v>38823.30143</v>
      </c>
    </row>
    <row r="5">
      <c r="A5" s="1" t="s">
        <v>8</v>
      </c>
      <c r="B5" s="6">
        <v>457.615185</v>
      </c>
      <c r="C5" s="5">
        <v>0.522643</v>
      </c>
      <c r="D5" s="5">
        <v>77.205805</v>
      </c>
      <c r="E5" s="4">
        <f t="shared" si="1"/>
        <v>35330.54874</v>
      </c>
    </row>
    <row r="6">
      <c r="A6" s="1" t="s">
        <v>9</v>
      </c>
      <c r="B6" s="2">
        <v>385.667194</v>
      </c>
      <c r="C6" s="2">
        <v>0.619785</v>
      </c>
      <c r="D6" s="2">
        <v>84.31916</v>
      </c>
      <c r="E6" s="4">
        <f t="shared" si="1"/>
        <v>32519.13384</v>
      </c>
    </row>
    <row r="7">
      <c r="A7" s="1" t="s">
        <v>10</v>
      </c>
      <c r="B7" s="2">
        <v>330.210548</v>
      </c>
      <c r="C7" s="2">
        <v>0.723439</v>
      </c>
      <c r="D7" s="2">
        <v>91.369995</v>
      </c>
      <c r="E7" s="4">
        <f t="shared" si="1"/>
        <v>30171.33612</v>
      </c>
    </row>
    <row r="8">
      <c r="A8" s="1"/>
    </row>
    <row r="9">
      <c r="A9" s="1" t="s">
        <v>11</v>
      </c>
      <c r="B9" s="1" t="s">
        <v>1</v>
      </c>
      <c r="C9" s="1" t="s">
        <v>2</v>
      </c>
      <c r="D9" s="1" t="s">
        <v>3</v>
      </c>
      <c r="E9" s="1" t="s">
        <v>4</v>
      </c>
    </row>
    <row r="10">
      <c r="A10" s="1" t="s">
        <v>12</v>
      </c>
      <c r="B10" s="2">
        <v>362.055295</v>
      </c>
      <c r="C10" s="2">
        <v>0.65947</v>
      </c>
      <c r="D10" s="3">
        <v>87.459224</v>
      </c>
      <c r="E10" s="4">
        <f t="shared" ref="E10:E15" si="2">D10*B10</f>
        <v>31665.07515</v>
      </c>
    </row>
    <row r="11">
      <c r="A11" s="1" t="s">
        <v>13</v>
      </c>
      <c r="B11" s="2">
        <v>463.620887</v>
      </c>
      <c r="C11" s="2">
        <v>0.51574</v>
      </c>
      <c r="D11" s="2">
        <v>76.793229</v>
      </c>
      <c r="E11" s="4">
        <f t="shared" si="2"/>
        <v>35602.94494</v>
      </c>
    </row>
    <row r="12">
      <c r="A12" s="1" t="s">
        <v>14</v>
      </c>
      <c r="B12" s="2">
        <v>555.660821</v>
      </c>
      <c r="C12" s="5">
        <v>0.43069</v>
      </c>
      <c r="D12" s="3">
        <v>69.868704</v>
      </c>
      <c r="E12" s="4">
        <f t="shared" si="2"/>
        <v>38823.30143</v>
      </c>
    </row>
    <row r="13">
      <c r="A13" s="1" t="s">
        <v>15</v>
      </c>
      <c r="B13" s="2">
        <v>648.015525</v>
      </c>
      <c r="C13" s="2">
        <v>0.369547</v>
      </c>
      <c r="D13" s="2">
        <v>64.509294</v>
      </c>
      <c r="E13" s="4">
        <f t="shared" si="2"/>
        <v>41803.02402</v>
      </c>
    </row>
    <row r="14">
      <c r="A14" s="1" t="s">
        <v>16</v>
      </c>
      <c r="B14" s="2">
        <v>742.099102</v>
      </c>
      <c r="C14" s="2">
        <v>0.322849</v>
      </c>
      <c r="D14" s="2">
        <v>60.151312</v>
      </c>
      <c r="E14" s="4">
        <f t="shared" si="2"/>
        <v>44638.23462</v>
      </c>
    </row>
    <row r="15">
      <c r="A15" s="1" t="s">
        <v>5</v>
      </c>
      <c r="B15" s="2">
        <v>841.241549</v>
      </c>
      <c r="C15" s="2">
        <v>0.284914</v>
      </c>
      <c r="D15" s="2">
        <v>56.393206</v>
      </c>
      <c r="E15" s="4">
        <f t="shared" si="2"/>
        <v>47440.30797</v>
      </c>
    </row>
  </sheetData>
  <drawing r:id="rId1"/>
</worksheet>
</file>